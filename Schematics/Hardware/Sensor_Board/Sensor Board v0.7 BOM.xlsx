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_BOM" sheetId="1" r:id="rId4"/>
    <sheet state="visible" name="Old_BOM" sheetId="2" r:id="rId5"/>
  </sheets>
  <definedNames/>
  <calcPr/>
  <extLst>
    <ext uri="GoogleSheetsCustomDataVersion2">
      <go:sheetsCustomData xmlns:go="http://customooxmlschemas.google.com/" r:id="rId6" roundtripDataChecksum="t5JAaM+llH9NBwhwyNK/TbmDPGMnz0EV/OVLjoL6l7E="/>
    </ext>
  </extLst>
</workbook>
</file>

<file path=xl/sharedStrings.xml><?xml version="1.0" encoding="utf-8"?>
<sst xmlns="http://schemas.openxmlformats.org/spreadsheetml/2006/main" count="220" uniqueCount="92">
  <si>
    <t>For v0.5 and v0.7 boards</t>
  </si>
  <si>
    <t xml:space="preserve">Sensor Board BOM </t>
  </si>
  <si>
    <t>Cost</t>
  </si>
  <si>
    <t>Multiply</t>
  </si>
  <si>
    <t>Unit Price</t>
  </si>
  <si>
    <t>Item #</t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</si>
  <si>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Designator</t>
    </r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</si>
  <si>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Qty</t>
    </r>
  </si>
  <si>
    <t>Manufacturer</t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</si>
  <si>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Mfg Part #</t>
    </r>
  </si>
  <si>
    <t>Description / Value</t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</si>
  <si>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 xml:space="preserve">Package/Footprint </t>
    </r>
  </si>
  <si>
    <t>Type</t>
  </si>
  <si>
    <t>Your Instructions / Notes</t>
  </si>
  <si>
    <t>U1, U2, U3</t>
  </si>
  <si>
    <t>Microchip Technology</t>
  </si>
  <si>
    <t>CAP1188-1-CP-TR</t>
  </si>
  <si>
    <t>IC TOUCH SENSOR/LED DRVR 24VQFN</t>
  </si>
  <si>
    <t>QFN-24 4x4, 0.5MM</t>
  </si>
  <si>
    <t>SMD</t>
  </si>
  <si>
    <t>C1, C2, C3</t>
  </si>
  <si>
    <t>KYOCERA AVX</t>
  </si>
  <si>
    <t>0805YC104M4T2A</t>
  </si>
  <si>
    <t>CAP CER 0.1UF 16V X7R 0805</t>
  </si>
  <si>
    <t>0805</t>
  </si>
  <si>
    <t>Do not place</t>
  </si>
  <si>
    <t>D1, D2, D3, D4, D5, D6, D7, D8, D9, D10, D11, D12, D13, D14, D15, D16, D17, D18, D19, D20, D21, D22, D23, D24</t>
  </si>
  <si>
    <t>ams-OSRAM USA INC.</t>
  </si>
  <si>
    <t>LG R971-KN-1-0-20-R18</t>
  </si>
  <si>
    <t>LED GREEN DIFFUSED 0805 SMD</t>
  </si>
  <si>
    <t>R7, R8, R9, R10, R11, R12, R13, R14, R15, R16, R17, R18, R19, R20, R21, R22, R23, R24, R25, R26, R27, R28, R29, R30</t>
  </si>
  <si>
    <t>Vishay Dale</t>
  </si>
  <si>
    <t>CRCW08052K20JNEA</t>
  </si>
  <si>
    <t>RES SMD 2.2K OHM 5% 1/4W 0805</t>
  </si>
  <si>
    <t>R31</t>
  </si>
  <si>
    <t>YAGEO</t>
  </si>
  <si>
    <t>CFR-25JT-52-10K</t>
  </si>
  <si>
    <t>RES 10K OHM 5% 1/4W AXIAL</t>
  </si>
  <si>
    <t>THT</t>
  </si>
  <si>
    <t>R32</t>
  </si>
  <si>
    <t>CFR-25JT-52-150K</t>
  </si>
  <si>
    <t>RES 150K OHM 5% 1/4W AXIAL</t>
  </si>
  <si>
    <t>R33</t>
  </si>
  <si>
    <t>CFR-25JT-52-120K</t>
  </si>
  <si>
    <t>RES 120K OHM 5% 1/4W AXIAL</t>
  </si>
  <si>
    <t>R34, R35, R36</t>
  </si>
  <si>
    <t>CFR-25JT-52-2K2</t>
  </si>
  <si>
    <t>RES 2.2K OHM 5% 1/4W AXIAL</t>
  </si>
  <si>
    <t>J1, J2</t>
  </si>
  <si>
    <t>Sullins Connector Solutions</t>
  </si>
  <si>
    <t>SBH11-PBPC-D20-ST-BK</t>
  </si>
  <si>
    <t>CONN HEADER VERT 40POS 2.54MM</t>
  </si>
  <si>
    <t>02x20 Pin Header</t>
  </si>
  <si>
    <t>J3</t>
  </si>
  <si>
    <t>PPTC141LFBN-RC</t>
  </si>
  <si>
    <t>CONN HDR 14POS 0.1 TIN PCB</t>
  </si>
  <si>
    <t>14 Position Header Connector 0.100" (2.54mm) Through Hole</t>
  </si>
  <si>
    <t>BREAKOUT_GARDEN_1, BREAKOUT_GARDEN_2</t>
  </si>
  <si>
    <t>PEC36SBAN</t>
  </si>
  <si>
    <t>CONN HEADER R/A 36POS 2.54MM</t>
  </si>
  <si>
    <t>36 Right Angle Header</t>
  </si>
  <si>
    <t>STEMMA_1, STEMMA_2</t>
  </si>
  <si>
    <t>Adafruit Industries LLC</t>
  </si>
  <si>
    <t>JST PH 4-PIN CONN 10-PACK STEMMA</t>
  </si>
  <si>
    <t>Connector Header Surface Mount, Right Angle 4 position 0.079" (2.00mm)</t>
  </si>
  <si>
    <t>Qwiic_1, Qwiic_2</t>
  </si>
  <si>
    <t>SparkFun Electronics</t>
  </si>
  <si>
    <t>QWIIC CONNECTOR SMD 4-PIN</t>
  </si>
  <si>
    <t>RN1</t>
  </si>
  <si>
    <t>Bourns Inc.</t>
  </si>
  <si>
    <t>4609X-101-222LF</t>
  </si>
  <si>
    <t>RES ARRAY 8 RES 2.2K OHM 9SIP</t>
  </si>
  <si>
    <t>01x09 Pin Header</t>
  </si>
  <si>
    <t>Hosyond Store</t>
  </si>
  <si>
    <t>IPS SPI/I2C LCD Touchscreen</t>
  </si>
  <si>
    <t>Estimated Board Cost</t>
  </si>
  <si>
    <t>For v0.2 Boards</t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</si>
  <si>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Designator</t>
    </r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</si>
  <si>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Qty</t>
    </r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</si>
  <si>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>Mfg Part #</t>
    </r>
  </si>
  <si>
    <r>
      <rPr>
        <rFont val="Arial"/>
        <b/>
        <color rgb="FF000000"/>
        <sz val="12.0"/>
      </rPr>
      <t>*</t>
    </r>
    <r>
      <rPr>
        <rFont val="Arial"/>
        <b/>
        <color rgb="FF000000"/>
        <sz val="12.0"/>
      </rPr>
      <t xml:space="preserve">Package/Footprint </t>
    </r>
  </si>
  <si>
    <t>Broadcom Limited</t>
  </si>
  <si>
    <t>HLMP-3507</t>
  </si>
  <si>
    <t>LED GREEN DIFFUSED T-1 3/4 T/H</t>
  </si>
  <si>
    <t>LED THT D3.0mm</t>
  </si>
  <si>
    <t>R1, R2, R3, R4, R5, R6, R34, R35, R36</t>
  </si>
  <si>
    <t>J2</t>
  </si>
  <si>
    <t>U4</t>
  </si>
  <si>
    <t>J1</t>
  </si>
  <si>
    <t>SBH11-PBPC-D13-ST-BK</t>
  </si>
  <si>
    <t>CONN HEADER VERT 26POS 2.54MM</t>
  </si>
  <si>
    <t>02x13 Pin Header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</si>
</sst>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1.0"/>
      <color theme="1"/>
      <name val="Calibri"/>
    </font>
    <font>
      <sz val="12.0"/>
      <color rgb="FF000000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sz val="12.0"/>
      <color theme="1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color theme="1"/>
      <name val="Calibri"/>
      <scheme val="minor"/>
    </font>
    <font>
      <sz val="9.0"/>
      <color rgb="FF222222"/>
      <name val="Roboto"/>
    </font>
    <font>
      <u/>
      <sz val="11.0"/>
      <color rgb="FF800080"/>
      <name val="SimSun"/>
    </font>
    <font>
      <sz val="9.0"/>
      <color rgb="FF444444"/>
      <name val="Roboto"/>
    </font>
    <font>
      <u/>
      <sz val="12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5" numFmtId="49" xfId="0" applyAlignment="1" applyBorder="1" applyFont="1" applyNumberFormat="1">
      <alignment horizontal="left" readingOrder="0" vertical="bottom"/>
    </xf>
    <xf borderId="1" fillId="0" fontId="5" numFmtId="0" xfId="0" applyAlignment="1" applyBorder="1" applyFont="1">
      <alignment vertical="bottom"/>
    </xf>
    <xf borderId="0" fillId="0" fontId="1" numFmtId="0" xfId="0" applyAlignment="1" applyFont="1">
      <alignment horizontal="right" readingOrder="0" vertical="center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vertical="bottom"/>
    </xf>
    <xf borderId="1" fillId="0" fontId="7" numFmtId="0" xfId="0" applyAlignment="1" applyBorder="1" applyFont="1">
      <alignment readingOrder="0" vertical="bottom"/>
    </xf>
    <xf borderId="1" fillId="0" fontId="8" numFmtId="49" xfId="0" applyAlignment="1" applyBorder="1" applyFont="1" applyNumberFormat="1">
      <alignment vertical="bottom"/>
    </xf>
    <xf borderId="1" fillId="0" fontId="8" numFmtId="0" xfId="0" applyAlignment="1" applyBorder="1" applyFont="1">
      <alignment vertical="bottom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9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readingOrder="0" vertical="bottom"/>
    </xf>
    <xf borderId="1" fillId="0" fontId="5" numFmtId="49" xfId="0" applyAlignment="1" applyBorder="1" applyFont="1" applyNumberFormat="1">
      <alignment horizontal="left" vertical="bottom"/>
    </xf>
    <xf borderId="1" fillId="0" fontId="11" numFmtId="0" xfId="0" applyAlignment="1" applyBorder="1" applyFont="1">
      <alignment vertical="bottom"/>
    </xf>
    <xf borderId="0" fillId="0" fontId="12" numFmtId="0" xfId="0" applyAlignment="1" applyFont="1">
      <alignment readingOrder="0" vertical="center"/>
    </xf>
    <xf borderId="0" fillId="4" fontId="13" numFmtId="0" xfId="0" applyAlignment="1" applyFill="1" applyFont="1">
      <alignment horizontal="right" readingOrder="0" shrinkToFit="0" vertical="center" wrapText="0"/>
    </xf>
    <xf borderId="0" fillId="0" fontId="5" numFmtId="0" xfId="0" applyAlignment="1" applyFont="1">
      <alignment readingOrder="0" vertical="center"/>
    </xf>
    <xf borderId="1" fillId="0" fontId="8" numFmtId="49" xfId="0" applyAlignment="1" applyBorder="1" applyFont="1" applyNumberFormat="1">
      <alignment readingOrder="0" vertical="bottom"/>
    </xf>
    <xf borderId="0" fillId="0" fontId="5" numFmtId="0" xfId="0" applyAlignment="1" applyFont="1">
      <alignment vertical="center"/>
    </xf>
    <xf borderId="2" fillId="0" fontId="5" numFmtId="0" xfId="0" applyAlignment="1" applyBorder="1" applyFont="1">
      <alignment vertical="bottom"/>
    </xf>
    <xf borderId="2" fillId="0" fontId="5" numFmtId="49" xfId="0" applyAlignment="1" applyBorder="1" applyFont="1" applyNumberFormat="1">
      <alignment vertical="bottom"/>
    </xf>
    <xf borderId="0" fillId="0" fontId="14" numFmtId="0" xfId="0" applyAlignment="1" applyFont="1">
      <alignment vertical="center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5" numFmtId="49" xfId="0" applyAlignment="1" applyBorder="1" applyFont="1" applyNumberFormat="1">
      <alignment vertical="bottom"/>
    </xf>
    <xf borderId="0" fillId="4" fontId="15" numFmtId="0" xfId="0" applyAlignment="1" applyFont="1">
      <alignment horizontal="left" readingOrder="0" vertical="top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0" fillId="4" fontId="8" numFmtId="0" xfId="0" applyAlignment="1" applyFont="1">
      <alignment vertical="center"/>
    </xf>
    <xf borderId="1" fillId="0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sullins-connector-solutions/PEC36SBAN/860089" TargetMode="External"/><Relationship Id="rId10" Type="http://schemas.openxmlformats.org/officeDocument/2006/relationships/hyperlink" Target="https://www.digikey.com/en/products/detail/sullins-connector-solutions/PPTC141LFBN-RC/810152" TargetMode="External"/><Relationship Id="rId13" Type="http://schemas.openxmlformats.org/officeDocument/2006/relationships/hyperlink" Target="https://www.digikey.com/en/products/detail/sparkfun-electronics/14417/7652746" TargetMode="External"/><Relationship Id="rId12" Type="http://schemas.openxmlformats.org/officeDocument/2006/relationships/hyperlink" Target="https://www.digikey.com/en/products/detail/adafruit-industries-llc/4392/10824269" TargetMode="External"/><Relationship Id="rId1" Type="http://schemas.openxmlformats.org/officeDocument/2006/relationships/hyperlink" Target="https://www.digikey.com/en/products/detail/microchip-technology/CAP1188-1-CP-TR/3871672?s=N4IgTCBcDaIMIEEAKBGFAOdBaFW5KwBUAlEAXQF8g" TargetMode="External"/><Relationship Id="rId2" Type="http://schemas.openxmlformats.org/officeDocument/2006/relationships/hyperlink" Target="https://www.digikey.com/en/products/detail/kyocera-avx/KAM21BR71C104MT/3081372?s=N4IgTCBcDaIAwA44FYCaBhAjHALAWRwBUwBBEAXQF8g" TargetMode="External"/><Relationship Id="rId3" Type="http://schemas.openxmlformats.org/officeDocument/2006/relationships/hyperlink" Target="https://www.digikey.com/en/products/detail/ams-osram-usa-inc/LG-R971-KN-1-0-20-R18/1227925" TargetMode="External"/><Relationship Id="rId4" Type="http://schemas.openxmlformats.org/officeDocument/2006/relationships/hyperlink" Target="https://www.digikey.com/en/products/detail/vishay-dale/CRCW08052K20JNEA/1175206" TargetMode="External"/><Relationship Id="rId9" Type="http://schemas.openxmlformats.org/officeDocument/2006/relationships/hyperlink" Target="https://www.digikey.com/en/products/detail/sullins-connector-solutions/SBH11-PBPC-D20-ST-BK/1990068?s=N4IgTCBcDaIMoCEASBGFBaACgzBhdAImAAzpwAq6CA0iALoC%2BQA" TargetMode="External"/><Relationship Id="rId15" Type="http://schemas.openxmlformats.org/officeDocument/2006/relationships/hyperlink" Target="https://www.amazon.com/dp/B0CMGF4Q68?th=1" TargetMode="External"/><Relationship Id="rId14" Type="http://schemas.openxmlformats.org/officeDocument/2006/relationships/hyperlink" Target="https://www.digikey.com/en/products/detail/bourns-inc/4609X-101-222LF/3593652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digikey.com/en/products/detail/yageo/CFR-25JT-52-10K/9098531?s=N4IgTCBcDaIMIDEBKBaMBWAUgFResKAjAAwDSIAugL5A" TargetMode="External"/><Relationship Id="rId6" Type="http://schemas.openxmlformats.org/officeDocument/2006/relationships/hyperlink" Target="https://www.digikey.com/en/products/detail/yageo/CFR-25JT-52-150K/9098546?s=N4IgTCBcDaIMIDEBKBaMBWAUgFResKAjOgAwDSIAugL5A" TargetMode="External"/><Relationship Id="rId7" Type="http://schemas.openxmlformats.org/officeDocument/2006/relationships/hyperlink" Target="https://www.digikey.com/en/products/detail/yageo/CFR-25JT-52-120K/9098538?s=N4IgTCBcDaIMIDEBKBaMBWAUgFResKAjGAAwDSIAugL5A" TargetMode="External"/><Relationship Id="rId8" Type="http://schemas.openxmlformats.org/officeDocument/2006/relationships/hyperlink" Target="https://www.digikey.com/en/products/detail/yageo/CFR-25JT-52-2K2/9098591?s=N4IgTCBcDaIMIDEBKBaMBWAUgFResaA0hALoC%2BQA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sullins-connector-solutions/PEC36SBAN/860089" TargetMode="External"/><Relationship Id="rId10" Type="http://schemas.openxmlformats.org/officeDocument/2006/relationships/hyperlink" Target="https://www.digikey.com/en/products/detail/sullins-connector-solutions/PPTC141LFBN-RC/810152" TargetMode="External"/><Relationship Id="rId13" Type="http://schemas.openxmlformats.org/officeDocument/2006/relationships/hyperlink" Target="https://www.digikey.com/en/products/detail/sparkfun-electronics/14417/7652746" TargetMode="External"/><Relationship Id="rId12" Type="http://schemas.openxmlformats.org/officeDocument/2006/relationships/hyperlink" Target="https://www.digikey.com/en/products/detail/adafruit-industries-llc/4392/10824269" TargetMode="External"/><Relationship Id="rId1" Type="http://schemas.openxmlformats.org/officeDocument/2006/relationships/hyperlink" Target="https://www.digikey.com/en/products/detail/microchip-technology/CAP1188-1-CP-TR/3871672?s=N4IgTCBcDaIMIEEAKBGFAOdBaFW5KwBUAlEAXQF8g" TargetMode="External"/><Relationship Id="rId2" Type="http://schemas.openxmlformats.org/officeDocument/2006/relationships/hyperlink" Target="https://www.digikey.com/en/products/detail/kyocera-avx/KAM21BR71C104MT/3081372?s=N4IgTCBcDaIAwA44FYCaBhAjHALAWRwBUwBBEAXQF8g" TargetMode="External"/><Relationship Id="rId3" Type="http://schemas.openxmlformats.org/officeDocument/2006/relationships/hyperlink" Target="https://www.digikey.com/en/products/detail/broadcom-limited/HLMP-3507/637597" TargetMode="External"/><Relationship Id="rId4" Type="http://schemas.openxmlformats.org/officeDocument/2006/relationships/hyperlink" Target="https://www.digikey.com/en/products/detail/vishay-dale/CRCW08052K20JNEA/1175206" TargetMode="External"/><Relationship Id="rId9" Type="http://schemas.openxmlformats.org/officeDocument/2006/relationships/hyperlink" Target="https://www.digikey.com/en/products/detail/sullins-connector-solutions/SBH11-PBPC-D20-ST-BK/1990068?s=N4IgTCBcDaIMoCEASBGFBaACgzBhdAImAAzpwAq6CA0iALoC%2BQA" TargetMode="External"/><Relationship Id="rId15" Type="http://schemas.openxmlformats.org/officeDocument/2006/relationships/hyperlink" Target="https://www.amazon.com/dp/B0CMGF4Q68?th=1" TargetMode="External"/><Relationship Id="rId14" Type="http://schemas.openxmlformats.org/officeDocument/2006/relationships/hyperlink" Target="http://digikey.com/en/products/detail/sullins-connector-solutions/SBH11-PBPC-D13-ST-BK/1990066?s=N4IgTCBcDaIMoCEASBGFBaACgzBhdAIigMzpwAq6CA0iALoC%2BQA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digikey.com/en/products/detail/yageo/CFR-25JT-52-10K/9098531?s=N4IgTCBcDaIMIDEBKBaMBWAUgFResKAjAAwDSIAugL5A" TargetMode="External"/><Relationship Id="rId6" Type="http://schemas.openxmlformats.org/officeDocument/2006/relationships/hyperlink" Target="https://www.digikey.com/en/products/detail/yageo/CFR-25JT-52-150K/9098546?s=N4IgTCBcDaIMIDEBKBaMBWAUgFResKAjOgAwDSIAugL5A" TargetMode="External"/><Relationship Id="rId7" Type="http://schemas.openxmlformats.org/officeDocument/2006/relationships/hyperlink" Target="https://www.digikey.com/en/products/detail/yageo/CFR-25JT-52-120K/9098538?s=N4IgTCBcDaIMIDEBKBaMBWAUgFResKAjGAAwDSIAugL5A" TargetMode="External"/><Relationship Id="rId8" Type="http://schemas.openxmlformats.org/officeDocument/2006/relationships/hyperlink" Target="https://www.digikey.com/en/products/detail/yageo/CFR-25JT-52-2K2/9098591?s=N4IgTCBcDaIMIDEBKBaMBWAUgFResaA0h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7.14"/>
    <col customWidth="1" min="3" max="3" width="9.0"/>
    <col customWidth="1" min="4" max="4" width="41.43"/>
    <col customWidth="1" min="5" max="5" width="29.86"/>
    <col customWidth="1" min="6" max="6" width="52.29"/>
    <col customWidth="1" min="7" max="7" width="27.43"/>
    <col customWidth="1" min="8" max="8" width="13.57"/>
    <col customWidth="1" min="9" max="9" width="35.57"/>
    <col customWidth="1" min="10" max="26" width="9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/>
      <c r="C2" s="2"/>
      <c r="D2" s="4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C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5" t="s">
        <v>2</v>
      </c>
      <c r="K5" s="5" t="s">
        <v>3</v>
      </c>
      <c r="L5" s="5" t="s">
        <v>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.5" customHeight="1">
      <c r="A6" s="6" t="s">
        <v>5</v>
      </c>
      <c r="B6" s="7" t="s">
        <v>6</v>
      </c>
      <c r="C6" s="7" t="s">
        <v>7</v>
      </c>
      <c r="D6" s="6" t="s">
        <v>8</v>
      </c>
      <c r="E6" s="7" t="s">
        <v>9</v>
      </c>
      <c r="F6" s="6" t="s">
        <v>10</v>
      </c>
      <c r="G6" s="7" t="s">
        <v>11</v>
      </c>
      <c r="H6" s="6" t="s">
        <v>12</v>
      </c>
      <c r="I6" s="6" t="s">
        <v>13</v>
      </c>
      <c r="J6" s="8">
        <f>SUM(J7:J1000)</f>
        <v>31.538556</v>
      </c>
      <c r="K6" s="9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0">
        <v>1.0</v>
      </c>
      <c r="B7" s="11" t="s">
        <v>14</v>
      </c>
      <c r="C7" s="12">
        <v>3.0</v>
      </c>
      <c r="D7" s="11" t="s">
        <v>15</v>
      </c>
      <c r="E7" s="11" t="s">
        <v>16</v>
      </c>
      <c r="F7" s="13" t="s">
        <v>17</v>
      </c>
      <c r="G7" s="14" t="s">
        <v>18</v>
      </c>
      <c r="H7" s="15" t="s">
        <v>19</v>
      </c>
      <c r="I7" s="15"/>
      <c r="J7" s="8">
        <f t="shared" ref="J7:J28" si="1">MULTIPLY(K7,L7)</f>
        <v>4.38</v>
      </c>
      <c r="K7" s="16">
        <v>3.0</v>
      </c>
      <c r="L7" s="16">
        <v>1.46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0">
        <v>2.0</v>
      </c>
      <c r="B8" s="17" t="s">
        <v>20</v>
      </c>
      <c r="C8" s="12">
        <v>3.0</v>
      </c>
      <c r="D8" s="17" t="s">
        <v>21</v>
      </c>
      <c r="E8" s="18" t="s">
        <v>22</v>
      </c>
      <c r="F8" s="19" t="s">
        <v>23</v>
      </c>
      <c r="G8" s="20" t="s">
        <v>24</v>
      </c>
      <c r="H8" s="21" t="s">
        <v>19</v>
      </c>
      <c r="I8" s="15" t="s">
        <v>25</v>
      </c>
      <c r="J8" s="8">
        <f t="shared" si="1"/>
        <v>0.6</v>
      </c>
      <c r="K8" s="16">
        <v>3.0</v>
      </c>
      <c r="L8" s="16">
        <v>0.2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0" customHeight="1">
      <c r="A9" s="10">
        <v>3.0</v>
      </c>
      <c r="B9" s="22" t="s">
        <v>26</v>
      </c>
      <c r="C9" s="12">
        <v>24.0</v>
      </c>
      <c r="D9" s="11" t="s">
        <v>27</v>
      </c>
      <c r="E9" s="11" t="s">
        <v>28</v>
      </c>
      <c r="F9" s="13" t="s">
        <v>29</v>
      </c>
      <c r="G9" s="14" t="s">
        <v>24</v>
      </c>
      <c r="H9" s="17" t="s">
        <v>19</v>
      </c>
      <c r="I9" s="15" t="s">
        <v>25</v>
      </c>
      <c r="J9" s="8">
        <f t="shared" si="1"/>
        <v>2.448</v>
      </c>
      <c r="K9" s="16">
        <v>24.0</v>
      </c>
      <c r="L9" s="16">
        <v>0.102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0" customHeight="1">
      <c r="A10" s="10">
        <v>4.0</v>
      </c>
      <c r="B10" s="22" t="s">
        <v>30</v>
      </c>
      <c r="C10" s="12">
        <v>24.0</v>
      </c>
      <c r="D10" s="11" t="s">
        <v>31</v>
      </c>
      <c r="E10" s="11" t="s">
        <v>32</v>
      </c>
      <c r="F10" s="23" t="s">
        <v>33</v>
      </c>
      <c r="G10" s="14" t="s">
        <v>24</v>
      </c>
      <c r="H10" s="17" t="s">
        <v>19</v>
      </c>
      <c r="I10" s="15" t="s">
        <v>25</v>
      </c>
      <c r="J10" s="8">
        <f t="shared" si="1"/>
        <v>0.84</v>
      </c>
      <c r="K10" s="16">
        <v>24.0</v>
      </c>
      <c r="L10" s="16">
        <v>0.035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0">
        <v>5.0</v>
      </c>
      <c r="B11" s="11" t="s">
        <v>34</v>
      </c>
      <c r="C11" s="12">
        <v>1.0</v>
      </c>
      <c r="D11" s="11" t="s">
        <v>35</v>
      </c>
      <c r="E11" s="17" t="s">
        <v>36</v>
      </c>
      <c r="F11" s="24" t="s">
        <v>37</v>
      </c>
      <c r="G11" s="20"/>
      <c r="H11" s="21" t="s">
        <v>38</v>
      </c>
      <c r="I11" s="15" t="s">
        <v>25</v>
      </c>
      <c r="J11" s="8">
        <f t="shared" si="1"/>
        <v>0.1</v>
      </c>
      <c r="K11" s="16">
        <v>1.0</v>
      </c>
      <c r="L11" s="16">
        <v>0.1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0">
        <v>6.0</v>
      </c>
      <c r="B12" s="11" t="s">
        <v>39</v>
      </c>
      <c r="C12" s="12">
        <v>1.0</v>
      </c>
      <c r="D12" s="11" t="s">
        <v>35</v>
      </c>
      <c r="E12" s="11" t="s">
        <v>40</v>
      </c>
      <c r="F12" s="23" t="s">
        <v>41</v>
      </c>
      <c r="G12" s="25"/>
      <c r="H12" s="21" t="s">
        <v>38</v>
      </c>
      <c r="I12" s="15" t="s">
        <v>25</v>
      </c>
      <c r="J12" s="8">
        <f t="shared" si="1"/>
        <v>0.1</v>
      </c>
      <c r="K12" s="16">
        <v>1.0</v>
      </c>
      <c r="L12" s="16">
        <v>0.1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0">
        <v>7.0</v>
      </c>
      <c r="B13" s="11" t="s">
        <v>42</v>
      </c>
      <c r="C13" s="12">
        <v>1.0</v>
      </c>
      <c r="D13" s="11" t="s">
        <v>35</v>
      </c>
      <c r="E13" s="17" t="s">
        <v>43</v>
      </c>
      <c r="F13" s="24" t="s">
        <v>44</v>
      </c>
      <c r="G13" s="20"/>
      <c r="H13" s="21" t="s">
        <v>38</v>
      </c>
      <c r="I13" s="15" t="s">
        <v>25</v>
      </c>
      <c r="J13" s="8">
        <f t="shared" si="1"/>
        <v>0.1</v>
      </c>
      <c r="K13" s="16">
        <v>1.0</v>
      </c>
      <c r="L13" s="16">
        <v>0.1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0">
        <v>8.0</v>
      </c>
      <c r="B14" s="11" t="s">
        <v>45</v>
      </c>
      <c r="C14" s="12">
        <v>3.0</v>
      </c>
      <c r="D14" s="11" t="s">
        <v>35</v>
      </c>
      <c r="E14" s="17" t="s">
        <v>46</v>
      </c>
      <c r="F14" s="24" t="s">
        <v>47</v>
      </c>
      <c r="G14" s="20"/>
      <c r="H14" s="21" t="s">
        <v>38</v>
      </c>
      <c r="I14" s="15" t="s">
        <v>25</v>
      </c>
      <c r="J14" s="8">
        <f t="shared" si="1"/>
        <v>0.3</v>
      </c>
      <c r="K14" s="16">
        <v>3.0</v>
      </c>
      <c r="L14" s="16">
        <v>0.1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0">
        <v>9.0</v>
      </c>
      <c r="B15" s="17" t="s">
        <v>48</v>
      </c>
      <c r="C15" s="12">
        <v>2.0</v>
      </c>
      <c r="D15" s="15" t="s">
        <v>49</v>
      </c>
      <c r="E15" s="15" t="s">
        <v>50</v>
      </c>
      <c r="F15" s="26" t="s">
        <v>51</v>
      </c>
      <c r="G15" s="20" t="s">
        <v>52</v>
      </c>
      <c r="H15" s="21" t="s">
        <v>38</v>
      </c>
      <c r="I15" s="15" t="s">
        <v>25</v>
      </c>
      <c r="J15" s="8">
        <f t="shared" si="1"/>
        <v>1.16</v>
      </c>
      <c r="K15" s="16">
        <v>2.0</v>
      </c>
      <c r="L15" s="16">
        <v>0.58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0">
        <v>10.0</v>
      </c>
      <c r="B16" s="11" t="s">
        <v>53</v>
      </c>
      <c r="C16" s="12">
        <v>1.0</v>
      </c>
      <c r="D16" s="15" t="s">
        <v>49</v>
      </c>
      <c r="E16" s="11" t="s">
        <v>54</v>
      </c>
      <c r="F16" s="13" t="s">
        <v>55</v>
      </c>
      <c r="G16" s="14" t="s">
        <v>56</v>
      </c>
      <c r="H16" s="17" t="s">
        <v>38</v>
      </c>
      <c r="I16" s="15" t="s">
        <v>25</v>
      </c>
      <c r="J16" s="8">
        <f t="shared" si="1"/>
        <v>0.77</v>
      </c>
      <c r="K16" s="16">
        <v>1.0</v>
      </c>
      <c r="L16" s="16">
        <v>0.77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0">
        <v>11.0</v>
      </c>
      <c r="B17" s="11" t="s">
        <v>57</v>
      </c>
      <c r="C17" s="12">
        <v>2.0</v>
      </c>
      <c r="D17" s="11" t="s">
        <v>49</v>
      </c>
      <c r="E17" s="11" t="s">
        <v>58</v>
      </c>
      <c r="F17" s="13" t="s">
        <v>59</v>
      </c>
      <c r="G17" s="14" t="s">
        <v>60</v>
      </c>
      <c r="H17" s="17" t="s">
        <v>38</v>
      </c>
      <c r="I17" s="15" t="s">
        <v>25</v>
      </c>
      <c r="J17" s="8">
        <f t="shared" si="1"/>
        <v>0.480556</v>
      </c>
      <c r="K17" s="16">
        <v>2.0</v>
      </c>
      <c r="L17" s="27">
        <v>0.240278</v>
      </c>
      <c r="M17" s="27">
        <v>0.048056</v>
      </c>
      <c r="N17" s="28">
        <v>1.73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0">
        <v>12.0</v>
      </c>
      <c r="B18" s="11" t="s">
        <v>61</v>
      </c>
      <c r="C18" s="12">
        <v>2.0</v>
      </c>
      <c r="D18" s="11" t="s">
        <v>62</v>
      </c>
      <c r="E18" s="11">
        <v>4392.0</v>
      </c>
      <c r="F18" s="13" t="s">
        <v>63</v>
      </c>
      <c r="G18" s="14" t="s">
        <v>64</v>
      </c>
      <c r="H18" s="17" t="s">
        <v>19</v>
      </c>
      <c r="I18" s="15" t="s">
        <v>25</v>
      </c>
      <c r="J18" s="8">
        <f t="shared" si="1"/>
        <v>0.7</v>
      </c>
      <c r="K18" s="16">
        <v>2.0</v>
      </c>
      <c r="L18" s="16">
        <v>0.35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0">
        <v>13.0</v>
      </c>
      <c r="B19" s="11" t="s">
        <v>65</v>
      </c>
      <c r="C19" s="12">
        <v>2.0</v>
      </c>
      <c r="D19" s="17" t="s">
        <v>66</v>
      </c>
      <c r="E19" s="11">
        <v>14417.0</v>
      </c>
      <c r="F19" s="13" t="s">
        <v>67</v>
      </c>
      <c r="G19" s="25"/>
      <c r="H19" s="17" t="s">
        <v>19</v>
      </c>
      <c r="I19" s="15" t="s">
        <v>25</v>
      </c>
      <c r="J19" s="8">
        <f t="shared" si="1"/>
        <v>1.2</v>
      </c>
      <c r="K19" s="16">
        <v>2.0</v>
      </c>
      <c r="L19" s="16">
        <v>0.6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2">
        <v>14.0</v>
      </c>
      <c r="B20" s="11" t="s">
        <v>68</v>
      </c>
      <c r="C20" s="12">
        <v>1.0</v>
      </c>
      <c r="D20" s="29" t="s">
        <v>69</v>
      </c>
      <c r="E20" s="17" t="s">
        <v>70</v>
      </c>
      <c r="F20" s="19" t="s">
        <v>71</v>
      </c>
      <c r="G20" s="30" t="s">
        <v>72</v>
      </c>
      <c r="H20" s="17" t="s">
        <v>38</v>
      </c>
      <c r="I20" s="15" t="s">
        <v>25</v>
      </c>
      <c r="J20" s="8">
        <f t="shared" si="1"/>
        <v>0.37</v>
      </c>
      <c r="K20" s="16">
        <v>1.0</v>
      </c>
      <c r="L20" s="16">
        <v>0.37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2">
        <v>15.0</v>
      </c>
      <c r="B21" s="11" t="s">
        <v>53</v>
      </c>
      <c r="C21" s="12">
        <v>1.0</v>
      </c>
      <c r="D21" s="11" t="s">
        <v>73</v>
      </c>
      <c r="E21" s="18"/>
      <c r="F21" s="13" t="s">
        <v>74</v>
      </c>
      <c r="G21" s="25"/>
      <c r="H21" s="17" t="s">
        <v>38</v>
      </c>
      <c r="I21" s="15" t="s">
        <v>25</v>
      </c>
      <c r="J21" s="8">
        <f t="shared" si="1"/>
        <v>16.99</v>
      </c>
      <c r="K21" s="16">
        <v>1.0</v>
      </c>
      <c r="L21" s="16">
        <v>16.99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2"/>
      <c r="B22" s="11"/>
      <c r="C22" s="12"/>
      <c r="D22" s="18"/>
      <c r="E22" s="18"/>
      <c r="F22" s="11" t="s">
        <v>75</v>
      </c>
      <c r="G22" s="25"/>
      <c r="H22" s="15"/>
      <c r="I22" s="15"/>
      <c r="J22" s="8">
        <f t="shared" si="1"/>
        <v>1</v>
      </c>
      <c r="K22" s="16">
        <v>1.0</v>
      </c>
      <c r="L22" s="16">
        <v>1.0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0"/>
      <c r="B23" s="18"/>
      <c r="C23" s="10"/>
      <c r="D23" s="18"/>
      <c r="E23" s="18"/>
      <c r="F23" s="11"/>
      <c r="G23" s="25"/>
      <c r="H23" s="15"/>
      <c r="I23" s="15"/>
      <c r="J23" s="8">
        <f t="shared" si="1"/>
        <v>0</v>
      </c>
      <c r="K23" s="16"/>
      <c r="L23" s="1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0"/>
      <c r="B24" s="18"/>
      <c r="C24" s="10"/>
      <c r="D24" s="11"/>
      <c r="E24" s="18"/>
      <c r="F24" s="18"/>
      <c r="G24" s="25"/>
      <c r="H24" s="15"/>
      <c r="I24" s="15"/>
      <c r="J24" s="8">
        <f t="shared" si="1"/>
        <v>0</v>
      </c>
      <c r="K24" s="8"/>
      <c r="L24" s="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0"/>
      <c r="B25" s="18"/>
      <c r="C25" s="10"/>
      <c r="D25" s="18"/>
      <c r="E25" s="31"/>
      <c r="F25" s="18"/>
      <c r="G25" s="25"/>
      <c r="H25" s="15"/>
      <c r="I25" s="15"/>
      <c r="J25" s="8">
        <f t="shared" si="1"/>
        <v>0</v>
      </c>
      <c r="K25" s="8"/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5"/>
      <c r="B26" s="32"/>
      <c r="C26" s="32"/>
      <c r="D26" s="32"/>
      <c r="E26" s="32"/>
      <c r="F26" s="32"/>
      <c r="G26" s="33"/>
      <c r="H26" s="32"/>
      <c r="I26" s="32"/>
      <c r="J26" s="8">
        <f t="shared" si="1"/>
        <v>0</v>
      </c>
      <c r="K26" s="8"/>
      <c r="L26" s="8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35"/>
      <c r="B27" s="36"/>
      <c r="C27" s="36"/>
      <c r="D27" s="36"/>
      <c r="E27" s="36"/>
      <c r="F27" s="36"/>
      <c r="G27" s="37"/>
      <c r="H27" s="36"/>
      <c r="I27" s="36"/>
      <c r="J27" s="8">
        <f t="shared" si="1"/>
        <v>0</v>
      </c>
      <c r="K27" s="8"/>
      <c r="L27" s="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5"/>
      <c r="B28" s="36"/>
      <c r="C28" s="36"/>
      <c r="D28" s="36"/>
      <c r="E28" s="36"/>
      <c r="F28" s="36"/>
      <c r="G28" s="37"/>
      <c r="H28" s="36"/>
      <c r="I28" s="36"/>
      <c r="J28" s="8">
        <f t="shared" si="1"/>
        <v>0</v>
      </c>
      <c r="K28" s="8"/>
      <c r="L28" s="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3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E34" s="2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B3"/>
    <mergeCell ref="D2:F4"/>
  </mergeCells>
  <hyperlinks>
    <hyperlink r:id="rId1" ref="F7"/>
    <hyperlink r:id="rId2" ref="F8"/>
    <hyperlink r:id="rId3" ref="F9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  <hyperlink r:id="rId15" ref="F21"/>
  </hyperlinks>
  <printOptions/>
  <pageMargins bottom="0.75" footer="0.0" header="0.0" left="0.699305555555556" right="0.699305555555556" top="0.75"/>
  <pageSetup paperSize="9" orientation="portrait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7.14"/>
    <col customWidth="1" min="3" max="3" width="9.0"/>
    <col customWidth="1" min="4" max="4" width="41.43"/>
    <col customWidth="1" min="5" max="5" width="29.86"/>
    <col customWidth="1" min="6" max="6" width="52.29"/>
    <col customWidth="1" min="7" max="7" width="27.43"/>
    <col customWidth="1" min="8" max="8" width="13.57"/>
    <col customWidth="1" min="9" max="9" width="35.57"/>
    <col customWidth="1" min="10" max="26" width="9.0"/>
  </cols>
  <sheetData>
    <row r="1" ht="14.25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/>
      <c r="C2" s="2"/>
      <c r="D2" s="4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C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5" t="s">
        <v>2</v>
      </c>
      <c r="K5" s="5" t="s">
        <v>3</v>
      </c>
      <c r="L5" s="5" t="s">
        <v>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.5" customHeight="1">
      <c r="A6" s="6" t="s">
        <v>5</v>
      </c>
      <c r="B6" s="7" t="s">
        <v>77</v>
      </c>
      <c r="C6" s="7" t="s">
        <v>78</v>
      </c>
      <c r="D6" s="6" t="s">
        <v>8</v>
      </c>
      <c r="E6" s="7" t="s">
        <v>79</v>
      </c>
      <c r="F6" s="6" t="s">
        <v>10</v>
      </c>
      <c r="G6" s="7" t="s">
        <v>80</v>
      </c>
      <c r="H6" s="6" t="s">
        <v>12</v>
      </c>
      <c r="I6" s="6" t="s">
        <v>13</v>
      </c>
      <c r="J6" s="8">
        <f>SUM(J7:J1000)</f>
        <v>39.614556</v>
      </c>
      <c r="K6" s="9"/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0">
        <v>1.0</v>
      </c>
      <c r="B7" s="11" t="s">
        <v>14</v>
      </c>
      <c r="C7" s="12">
        <v>3.0</v>
      </c>
      <c r="D7" s="11" t="s">
        <v>15</v>
      </c>
      <c r="E7" s="11" t="s">
        <v>16</v>
      </c>
      <c r="F7" s="13" t="s">
        <v>17</v>
      </c>
      <c r="G7" s="14" t="s">
        <v>18</v>
      </c>
      <c r="H7" s="15" t="s">
        <v>19</v>
      </c>
      <c r="I7" s="15"/>
      <c r="J7" s="8">
        <f t="shared" ref="J7:J28" si="1">MULTIPLY(K7,L7)</f>
        <v>4.38</v>
      </c>
      <c r="K7" s="16">
        <v>3.0</v>
      </c>
      <c r="L7" s="16">
        <v>1.46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0">
        <v>2.0</v>
      </c>
      <c r="B8" s="39" t="s">
        <v>20</v>
      </c>
      <c r="C8" s="40">
        <v>3.0</v>
      </c>
      <c r="D8" s="39" t="s">
        <v>21</v>
      </c>
      <c r="E8" s="18" t="s">
        <v>22</v>
      </c>
      <c r="F8" s="19" t="s">
        <v>23</v>
      </c>
      <c r="G8" s="20" t="s">
        <v>24</v>
      </c>
      <c r="H8" s="21" t="s">
        <v>19</v>
      </c>
      <c r="I8" s="15" t="s">
        <v>25</v>
      </c>
      <c r="J8" s="8">
        <f t="shared" si="1"/>
        <v>0.6</v>
      </c>
      <c r="K8" s="16">
        <v>3.0</v>
      </c>
      <c r="L8" s="16">
        <v>0.2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0" customHeight="1">
      <c r="A9" s="10">
        <v>3.0</v>
      </c>
      <c r="B9" s="22" t="s">
        <v>26</v>
      </c>
      <c r="C9" s="12">
        <v>24.0</v>
      </c>
      <c r="D9" s="11" t="s">
        <v>81</v>
      </c>
      <c r="E9" s="11" t="s">
        <v>82</v>
      </c>
      <c r="F9" s="13" t="s">
        <v>83</v>
      </c>
      <c r="G9" s="14" t="s">
        <v>84</v>
      </c>
      <c r="H9" s="17" t="s">
        <v>38</v>
      </c>
      <c r="I9" s="15" t="s">
        <v>25</v>
      </c>
      <c r="J9" s="8">
        <f t="shared" si="1"/>
        <v>6.384</v>
      </c>
      <c r="K9" s="16">
        <v>24.0</v>
      </c>
      <c r="L9" s="16">
        <v>0.266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7.0" customHeight="1">
      <c r="A10" s="10">
        <v>4.0</v>
      </c>
      <c r="B10" s="22" t="s">
        <v>30</v>
      </c>
      <c r="C10" s="12">
        <v>24.0</v>
      </c>
      <c r="D10" s="11" t="s">
        <v>31</v>
      </c>
      <c r="E10" s="11" t="s">
        <v>32</v>
      </c>
      <c r="F10" s="23" t="s">
        <v>33</v>
      </c>
      <c r="G10" s="14" t="s">
        <v>24</v>
      </c>
      <c r="H10" s="17" t="s">
        <v>19</v>
      </c>
      <c r="I10" s="15" t="s">
        <v>25</v>
      </c>
      <c r="J10" s="8">
        <f t="shared" si="1"/>
        <v>0.84</v>
      </c>
      <c r="K10" s="16">
        <v>24.0</v>
      </c>
      <c r="L10" s="16">
        <v>0.035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0">
        <v>5.0</v>
      </c>
      <c r="B11" s="11" t="s">
        <v>34</v>
      </c>
      <c r="C11" s="12">
        <v>1.0</v>
      </c>
      <c r="D11" s="11" t="s">
        <v>35</v>
      </c>
      <c r="E11" s="39" t="s">
        <v>36</v>
      </c>
      <c r="F11" s="24" t="s">
        <v>37</v>
      </c>
      <c r="G11" s="20"/>
      <c r="H11" s="21" t="s">
        <v>38</v>
      </c>
      <c r="I11" s="15" t="s">
        <v>25</v>
      </c>
      <c r="J11" s="8">
        <f t="shared" si="1"/>
        <v>0.1</v>
      </c>
      <c r="K11" s="16">
        <v>1.0</v>
      </c>
      <c r="L11" s="16">
        <v>0.1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0">
        <v>6.0</v>
      </c>
      <c r="B12" s="11" t="s">
        <v>39</v>
      </c>
      <c r="C12" s="12">
        <v>1.0</v>
      </c>
      <c r="D12" s="11" t="s">
        <v>35</v>
      </c>
      <c r="E12" s="11" t="s">
        <v>40</v>
      </c>
      <c r="F12" s="23" t="s">
        <v>41</v>
      </c>
      <c r="G12" s="25"/>
      <c r="H12" s="21" t="s">
        <v>38</v>
      </c>
      <c r="I12" s="15" t="s">
        <v>25</v>
      </c>
      <c r="J12" s="8">
        <f t="shared" si="1"/>
        <v>0.1</v>
      </c>
      <c r="K12" s="16">
        <v>1.0</v>
      </c>
      <c r="L12" s="16">
        <v>0.1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0">
        <v>7.0</v>
      </c>
      <c r="B13" s="11" t="s">
        <v>42</v>
      </c>
      <c r="C13" s="12">
        <v>1.0</v>
      </c>
      <c r="D13" s="11" t="s">
        <v>35</v>
      </c>
      <c r="E13" s="39" t="s">
        <v>43</v>
      </c>
      <c r="F13" s="24" t="s">
        <v>44</v>
      </c>
      <c r="G13" s="20"/>
      <c r="H13" s="21" t="s">
        <v>38</v>
      </c>
      <c r="I13" s="15" t="s">
        <v>25</v>
      </c>
      <c r="J13" s="8">
        <f t="shared" si="1"/>
        <v>0.1</v>
      </c>
      <c r="K13" s="16">
        <v>1.0</v>
      </c>
      <c r="L13" s="16">
        <v>0.1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0">
        <v>8.0</v>
      </c>
      <c r="B14" s="11" t="s">
        <v>85</v>
      </c>
      <c r="C14" s="12">
        <v>9.0</v>
      </c>
      <c r="D14" s="11" t="s">
        <v>35</v>
      </c>
      <c r="E14" s="39" t="s">
        <v>46</v>
      </c>
      <c r="F14" s="24" t="s">
        <v>47</v>
      </c>
      <c r="G14" s="20"/>
      <c r="H14" s="21" t="s">
        <v>38</v>
      </c>
      <c r="I14" s="15" t="s">
        <v>25</v>
      </c>
      <c r="J14" s="8">
        <f t="shared" si="1"/>
        <v>0.9</v>
      </c>
      <c r="K14" s="16">
        <v>9.0</v>
      </c>
      <c r="L14" s="16">
        <v>0.1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0">
        <v>9.0</v>
      </c>
      <c r="B15" s="21" t="s">
        <v>86</v>
      </c>
      <c r="C15" s="41">
        <v>1.0</v>
      </c>
      <c r="D15" s="21" t="s">
        <v>49</v>
      </c>
      <c r="E15" s="21" t="s">
        <v>50</v>
      </c>
      <c r="F15" s="26" t="s">
        <v>51</v>
      </c>
      <c r="G15" s="20" t="s">
        <v>52</v>
      </c>
      <c r="H15" s="21" t="s">
        <v>38</v>
      </c>
      <c r="I15" s="15" t="s">
        <v>25</v>
      </c>
      <c r="J15" s="8">
        <f t="shared" si="1"/>
        <v>0.58</v>
      </c>
      <c r="K15" s="8">
        <v>1.0</v>
      </c>
      <c r="L15" s="16">
        <v>0.58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0">
        <v>10.0</v>
      </c>
      <c r="B16" s="11" t="s">
        <v>87</v>
      </c>
      <c r="C16" s="12">
        <v>1.0</v>
      </c>
      <c r="D16" s="21" t="s">
        <v>49</v>
      </c>
      <c r="E16" s="11" t="s">
        <v>54</v>
      </c>
      <c r="F16" s="13" t="s">
        <v>55</v>
      </c>
      <c r="G16" s="14" t="s">
        <v>56</v>
      </c>
      <c r="H16" s="17" t="s">
        <v>38</v>
      </c>
      <c r="I16" s="15" t="s">
        <v>25</v>
      </c>
      <c r="J16" s="8">
        <f t="shared" si="1"/>
        <v>0.77</v>
      </c>
      <c r="K16" s="16">
        <v>1.0</v>
      </c>
      <c r="L16" s="16">
        <v>0.77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0">
        <v>11.0</v>
      </c>
      <c r="B17" s="11" t="s">
        <v>57</v>
      </c>
      <c r="C17" s="12">
        <v>2.0</v>
      </c>
      <c r="D17" s="11" t="s">
        <v>49</v>
      </c>
      <c r="E17" s="11" t="s">
        <v>58</v>
      </c>
      <c r="F17" s="13" t="s">
        <v>59</v>
      </c>
      <c r="G17" s="14" t="s">
        <v>60</v>
      </c>
      <c r="H17" s="17" t="s">
        <v>38</v>
      </c>
      <c r="I17" s="15" t="s">
        <v>25</v>
      </c>
      <c r="J17" s="8">
        <f t="shared" si="1"/>
        <v>0.480556</v>
      </c>
      <c r="K17" s="16">
        <v>2.0</v>
      </c>
      <c r="L17" s="27">
        <v>0.240278</v>
      </c>
      <c r="M17" s="27">
        <v>0.048056</v>
      </c>
      <c r="N17" s="28">
        <v>1.73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0">
        <v>12.0</v>
      </c>
      <c r="B18" s="11" t="s">
        <v>61</v>
      </c>
      <c r="C18" s="12">
        <v>2.0</v>
      </c>
      <c r="D18" s="11" t="s">
        <v>62</v>
      </c>
      <c r="E18" s="11">
        <v>4392.0</v>
      </c>
      <c r="F18" s="13" t="s">
        <v>63</v>
      </c>
      <c r="G18" s="14" t="s">
        <v>64</v>
      </c>
      <c r="H18" s="17" t="s">
        <v>19</v>
      </c>
      <c r="I18" s="15" t="s">
        <v>25</v>
      </c>
      <c r="J18" s="8">
        <f t="shared" si="1"/>
        <v>0.7</v>
      </c>
      <c r="K18" s="16">
        <v>2.0</v>
      </c>
      <c r="L18" s="16">
        <v>0.35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0">
        <v>13.0</v>
      </c>
      <c r="B19" s="11" t="s">
        <v>65</v>
      </c>
      <c r="C19" s="12">
        <v>2.0</v>
      </c>
      <c r="D19" s="39" t="s">
        <v>66</v>
      </c>
      <c r="E19" s="11">
        <v>14417.0</v>
      </c>
      <c r="F19" s="13" t="s">
        <v>67</v>
      </c>
      <c r="G19" s="25"/>
      <c r="H19" s="17" t="s">
        <v>19</v>
      </c>
      <c r="I19" s="15" t="s">
        <v>25</v>
      </c>
      <c r="J19" s="8">
        <f t="shared" si="1"/>
        <v>1.2</v>
      </c>
      <c r="K19" s="16">
        <v>2.0</v>
      </c>
      <c r="L19" s="16">
        <v>0.6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2">
        <v>14.0</v>
      </c>
      <c r="B20" s="11" t="s">
        <v>88</v>
      </c>
      <c r="C20" s="12">
        <v>1.0</v>
      </c>
      <c r="D20" s="42" t="s">
        <v>49</v>
      </c>
      <c r="E20" s="21" t="s">
        <v>89</v>
      </c>
      <c r="F20" s="43" t="s">
        <v>90</v>
      </c>
      <c r="G20" s="20" t="s">
        <v>91</v>
      </c>
      <c r="H20" s="17" t="s">
        <v>38</v>
      </c>
      <c r="I20" s="15" t="s">
        <v>25</v>
      </c>
      <c r="J20" s="8">
        <f t="shared" si="1"/>
        <v>0.49</v>
      </c>
      <c r="K20" s="16">
        <v>1.0</v>
      </c>
      <c r="L20" s="16">
        <v>0.49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2">
        <v>15.0</v>
      </c>
      <c r="B21" s="11" t="s">
        <v>87</v>
      </c>
      <c r="C21" s="12">
        <v>1.0</v>
      </c>
      <c r="D21" s="11" t="s">
        <v>73</v>
      </c>
      <c r="E21" s="18"/>
      <c r="F21" s="13" t="s">
        <v>74</v>
      </c>
      <c r="G21" s="25"/>
      <c r="H21" s="17" t="s">
        <v>38</v>
      </c>
      <c r="I21" s="15" t="s">
        <v>25</v>
      </c>
      <c r="J21" s="8">
        <f t="shared" si="1"/>
        <v>16.99</v>
      </c>
      <c r="K21" s="16">
        <v>1.0</v>
      </c>
      <c r="L21" s="16">
        <v>16.99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0"/>
      <c r="B22" s="18"/>
      <c r="C22" s="10"/>
      <c r="D22" s="18"/>
      <c r="E22" s="18"/>
      <c r="F22" s="11" t="s">
        <v>75</v>
      </c>
      <c r="G22" s="25"/>
      <c r="H22" s="15"/>
      <c r="I22" s="15"/>
      <c r="J22" s="8">
        <f t="shared" si="1"/>
        <v>5</v>
      </c>
      <c r="K22" s="16">
        <v>1.0</v>
      </c>
      <c r="L22" s="16">
        <v>5.0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0"/>
      <c r="B23" s="18"/>
      <c r="C23" s="10"/>
      <c r="D23" s="18"/>
      <c r="E23" s="18"/>
      <c r="G23" s="25"/>
      <c r="H23" s="15"/>
      <c r="I23" s="15"/>
      <c r="J23" s="8">
        <f t="shared" si="1"/>
        <v>0</v>
      </c>
      <c r="K23" s="8"/>
      <c r="L23" s="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0"/>
      <c r="B24" s="18"/>
      <c r="C24" s="10"/>
      <c r="D24" s="11"/>
      <c r="E24" s="18"/>
      <c r="F24" s="18"/>
      <c r="G24" s="25"/>
      <c r="H24" s="15"/>
      <c r="I24" s="15"/>
      <c r="J24" s="8">
        <f t="shared" si="1"/>
        <v>0</v>
      </c>
      <c r="K24" s="8"/>
      <c r="L24" s="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0"/>
      <c r="B25" s="18"/>
      <c r="C25" s="10"/>
      <c r="D25" s="18"/>
      <c r="E25" s="31"/>
      <c r="F25" s="18"/>
      <c r="G25" s="25"/>
      <c r="H25" s="15"/>
      <c r="I25" s="15"/>
      <c r="J25" s="8">
        <f t="shared" si="1"/>
        <v>0</v>
      </c>
      <c r="K25" s="8"/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5"/>
      <c r="B26" s="32"/>
      <c r="C26" s="32"/>
      <c r="D26" s="32"/>
      <c r="E26" s="32"/>
      <c r="F26" s="32"/>
      <c r="G26" s="33"/>
      <c r="H26" s="32"/>
      <c r="I26" s="32"/>
      <c r="J26" s="8">
        <f t="shared" si="1"/>
        <v>0</v>
      </c>
      <c r="K26" s="8"/>
      <c r="L26" s="8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A27" s="35"/>
      <c r="B27" s="36"/>
      <c r="C27" s="36"/>
      <c r="D27" s="36"/>
      <c r="E27" s="36"/>
      <c r="F27" s="36"/>
      <c r="G27" s="37"/>
      <c r="H27" s="36"/>
      <c r="I27" s="36"/>
      <c r="J27" s="8">
        <f t="shared" si="1"/>
        <v>0</v>
      </c>
      <c r="K27" s="8"/>
      <c r="L27" s="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5"/>
      <c r="B28" s="36"/>
      <c r="C28" s="36"/>
      <c r="D28" s="36"/>
      <c r="E28" s="36"/>
      <c r="F28" s="36"/>
      <c r="G28" s="37"/>
      <c r="H28" s="36"/>
      <c r="I28" s="36"/>
      <c r="J28" s="8">
        <f t="shared" si="1"/>
        <v>0</v>
      </c>
      <c r="K28" s="8"/>
      <c r="L28" s="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3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1"/>
      <c r="E34" s="2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B3"/>
    <mergeCell ref="D2:F4"/>
  </mergeCells>
  <hyperlinks>
    <hyperlink r:id="rId1" ref="F7"/>
    <hyperlink r:id="rId2" ref="F8"/>
    <hyperlink r:id="rId3" ref="F9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  <hyperlink r:id="rId15" ref="F21"/>
  </hyperlinks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