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_BOM" sheetId="1" r:id="rId4"/>
    <sheet state="visible" name="Old_BOM" sheetId="2" r:id="rId5"/>
  </sheets>
  <definedNames/>
  <calcPr/>
  <extLst>
    <ext uri="GoogleSheetsCustomDataVersion2">
      <go:sheetsCustomData xmlns:go="http://customooxmlschemas.google.com/" r:id="rId6" roundtripDataChecksum="F6z2XZtEJaZmWMWASCciUB26ruxvYZ5MPf7TUv6sjr4="/>
    </ext>
  </extLst>
</workbook>
</file>

<file path=xl/sharedStrings.xml><?xml version="1.0" encoding="utf-8"?>
<sst xmlns="http://schemas.openxmlformats.org/spreadsheetml/2006/main" count="88" uniqueCount="49">
  <si>
    <t>For v0.5 boards</t>
  </si>
  <si>
    <t>LED Driver Board BOM</t>
  </si>
  <si>
    <t>Cost</t>
  </si>
  <si>
    <t>Multiply</t>
  </si>
  <si>
    <t>Unit Price</t>
  </si>
  <si>
    <t>Item #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</si>
  <si>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Designator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</si>
  <si>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Qty</t>
    </r>
  </si>
  <si>
    <t>Manufacturer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</si>
  <si>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Mfg Part #</t>
    </r>
  </si>
  <si>
    <t>Description / Value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</si>
  <si>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 xml:space="preserve">Package/Footprint </t>
    </r>
  </si>
  <si>
    <t>Type</t>
  </si>
  <si>
    <t>Your Instructions / Notes</t>
  </si>
  <si>
    <t>U1, U2</t>
  </si>
  <si>
    <t>Nexperia USA Inc.</t>
  </si>
  <si>
    <t>74AHCT245PW,118</t>
  </si>
  <si>
    <t>IC TXRX NON-INVERT 5.5V 20-TSSOP</t>
  </si>
  <si>
    <t>TSSOP20</t>
  </si>
  <si>
    <t>SMD</t>
  </si>
  <si>
    <t>C1, C2</t>
  </si>
  <si>
    <t>KYOCERA AVX</t>
  </si>
  <si>
    <t>0805YC104M4T2A</t>
  </si>
  <si>
    <t>CAP CER 0.1UF 16V X7R 0805</t>
  </si>
  <si>
    <t>0805</t>
  </si>
  <si>
    <t>J1, J2</t>
  </si>
  <si>
    <t>Sullins Connector Solutions</t>
  </si>
  <si>
    <t>SBH11-PBPC-D20-ST-BK</t>
  </si>
  <si>
    <t>CONN HEADER VERT 40POS 2.54MM</t>
  </si>
  <si>
    <t>02x20 Pin Header</t>
  </si>
  <si>
    <t>THT</t>
  </si>
  <si>
    <t>J3</t>
  </si>
  <si>
    <t>SBH11-PBPC-D08-ST-BK</t>
  </si>
  <si>
    <t>CONN HEADER VERT 16POS 2.54MM</t>
  </si>
  <si>
    <t>02x08 Pin Header</t>
  </si>
  <si>
    <t>Power Adapter</t>
  </si>
  <si>
    <t>LED Matrix Power Supply</t>
  </si>
  <si>
    <t>32x32 LED Matrix</t>
  </si>
  <si>
    <t>Estimated Board Cost</t>
  </si>
  <si>
    <t>For v0.3 boards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</si>
  <si>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Designator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</si>
  <si>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Qty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</si>
  <si>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Mfg Part #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</si>
  <si>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 xml:space="preserve">Package/Footprint </t>
    </r>
  </si>
  <si>
    <t>J1</t>
  </si>
  <si>
    <t>J2</t>
  </si>
  <si>
    <t>SBH11-PBPC-D13-ST-BK</t>
  </si>
  <si>
    <t>CONN HEADER VERT 26POS 2.54MM</t>
  </si>
  <si>
    <t>02x13 Pin Header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</si>
</sst>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u/>
      <sz val="12.0"/>
      <color rgb="FF0000FF"/>
      <name val="Arial"/>
    </font>
    <font>
      <sz val="12.0"/>
      <color theme="1"/>
      <name val="Arial"/>
    </font>
    <font>
      <u/>
      <sz val="12.0"/>
      <color rgb="FF0000FF"/>
      <name val="Arial"/>
    </font>
    <font>
      <u/>
      <sz val="11.0"/>
      <color rgb="FF800080"/>
      <name val="SimSun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6" numFmtId="49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0" fillId="4" fontId="6" numFmtId="0" xfId="0" applyAlignment="1" applyFill="1" applyFont="1">
      <alignment horizontal="left" readingOrder="0" vertical="center"/>
    </xf>
    <xf borderId="1" fillId="0" fontId="4" numFmtId="0" xfId="0" applyAlignment="1" applyBorder="1" applyFont="1">
      <alignment horizontal="left" vertical="bottom"/>
    </xf>
    <xf borderId="1" fillId="0" fontId="4" numFmtId="49" xfId="0" applyAlignment="1" applyBorder="1" applyFont="1" applyNumberFormat="1">
      <alignment horizontal="left" vertical="bottom"/>
    </xf>
    <xf borderId="0" fillId="0" fontId="4" numFmtId="0" xfId="0" applyAlignment="1" applyFont="1">
      <alignment vertical="center"/>
    </xf>
    <xf borderId="0" fillId="4" fontId="4" numFmtId="0" xfId="0" applyAlignment="1" applyFont="1">
      <alignment vertical="center"/>
    </xf>
    <xf borderId="2" fillId="0" fontId="4" numFmtId="0" xfId="0" applyAlignment="1" applyBorder="1" applyFont="1">
      <alignment vertical="bottom"/>
    </xf>
    <xf borderId="2" fillId="0" fontId="4" numFmtId="49" xfId="0" applyAlignment="1" applyBorder="1" applyFont="1" applyNumberFormat="1">
      <alignment vertical="bottom"/>
    </xf>
    <xf borderId="0" fillId="0" fontId="8" numFmtId="0" xfId="0" applyAlignment="1" applyFont="1">
      <alignment vertical="center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nexperia-usa-inc/74AHCT245PW-118/1229680" TargetMode="External"/><Relationship Id="rId2" Type="http://schemas.openxmlformats.org/officeDocument/2006/relationships/hyperlink" Target="https://www.digikey.com/en/products/detail/kyocera-avx/KAM21BR71C104MT/3081372?s=N4IgTCBcDaIAwA44FYCaBhAjHALAWRwBUwBBEAXQF8g" TargetMode="External"/><Relationship Id="rId3" Type="http://schemas.openxmlformats.org/officeDocument/2006/relationships/hyperlink" Target="https://www.digikey.com/en/products/detail/sullins-connector-solutions/SBH11-PBPC-D20-ST-BK/1990068?s=N4IgTCBcDaIMoCEASBGFBaACgzBhdAImAAzpwAq6CA0iALoC%2BQA" TargetMode="External"/><Relationship Id="rId4" Type="http://schemas.openxmlformats.org/officeDocument/2006/relationships/hyperlink" Target="https://www.digikey.com/en/products/detail/sullins-connector-solutions/SBH11-PBPC-D08-ST-BK/1990064?s=N4IgTCBcDaIMoCEASBGFBaACgzBhdAIgAwAc6cAKuggNIgC6AvkA" TargetMode="External"/><Relationship Id="rId5" Type="http://schemas.openxmlformats.org/officeDocument/2006/relationships/hyperlink" Target="https://www.digikey.com/en/products/detail/adafruit-industries-llc/368/5629434" TargetMode="External"/><Relationship Id="rId6" Type="http://schemas.openxmlformats.org/officeDocument/2006/relationships/hyperlink" Target="https://www.digikey.com/en/products/detail/adafruit-industries-llc/1466/10670047" TargetMode="External"/><Relationship Id="rId7" Type="http://schemas.openxmlformats.org/officeDocument/2006/relationships/hyperlink" Target="https://www.adafruit.com/product/607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nexperia-usa-inc/74AHCT245PW-118/1229680" TargetMode="External"/><Relationship Id="rId2" Type="http://schemas.openxmlformats.org/officeDocument/2006/relationships/hyperlink" Target="https://www.digikey.com/en/products/detail/kyocera-avx/KAM21BR71C104MT/3081372?s=N4IgTCBcDaIAwA44FYCaBhAjHALAWRwBUwBBEAXQF8g" TargetMode="External"/><Relationship Id="rId3" Type="http://schemas.openxmlformats.org/officeDocument/2006/relationships/hyperlink" Target="https://www.digikey.com/en/products/detail/sullins-connector-solutions/SBH11-PBPC-D20-ST-BK/1990068?s=N4IgTCBcDaIMoCEASBGFBaACgzBhdAImAAzpwAq6CA0iALoC%2BQA" TargetMode="External"/><Relationship Id="rId4" Type="http://schemas.openxmlformats.org/officeDocument/2006/relationships/hyperlink" Target="https://www.digikey.com/en/products/detail/sullins-connector-solutions/SBH11-PBPC-D08-ST-BK/1990064?s=N4IgTCBcDaIMoCEASBGFBaACgzBhdAIgAwAc6cAKuggNIgC6AvkA" TargetMode="External"/><Relationship Id="rId5" Type="http://schemas.openxmlformats.org/officeDocument/2006/relationships/hyperlink" Target="http://digikey.com/en/products/detail/sullins-connector-solutions/SBH11-PBPC-D13-ST-BK/1990066?s=N4IgTCBcDaIMoCEASBGFBaACgzBhdAIigMzpwAq6CA0iALoC%2BQA" TargetMode="External"/><Relationship Id="rId6" Type="http://schemas.openxmlformats.org/officeDocument/2006/relationships/hyperlink" Target="https://www.adafruit.com/product/607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8.71"/>
    <col customWidth="1" min="3" max="3" width="9.0"/>
    <col customWidth="1" min="4" max="4" width="41.43"/>
    <col customWidth="1" min="5" max="5" width="29.86"/>
    <col customWidth="1" min="6" max="6" width="52.29"/>
    <col customWidth="1" min="7" max="7" width="27.43"/>
    <col customWidth="1" min="8" max="8" width="13.57"/>
    <col customWidth="1" min="9" max="9" width="35.57"/>
    <col customWidth="1" min="10" max="26" width="9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/>
      <c r="C2" s="2"/>
      <c r="D2" s="4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C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1" t="s">
        <v>2</v>
      </c>
      <c r="K5" s="1" t="s">
        <v>3</v>
      </c>
      <c r="L5" s="1" t="s">
        <v>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.5" customHeight="1">
      <c r="A6" s="5" t="s">
        <v>5</v>
      </c>
      <c r="B6" s="6" t="s">
        <v>6</v>
      </c>
      <c r="C6" s="6" t="s">
        <v>7</v>
      </c>
      <c r="D6" s="5" t="s">
        <v>8</v>
      </c>
      <c r="E6" s="6" t="s">
        <v>9</v>
      </c>
      <c r="F6" s="5" t="s">
        <v>10</v>
      </c>
      <c r="G6" s="6" t="s">
        <v>11</v>
      </c>
      <c r="H6" s="5" t="s">
        <v>12</v>
      </c>
      <c r="I6" s="5" t="s">
        <v>13</v>
      </c>
      <c r="J6" s="2">
        <f>SUM(J7:J1000)</f>
        <v>50.54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7">
        <v>1.0</v>
      </c>
      <c r="B7" s="8" t="s">
        <v>14</v>
      </c>
      <c r="C7" s="9">
        <v>2.0</v>
      </c>
      <c r="D7" s="1" t="s">
        <v>15</v>
      </c>
      <c r="E7" s="8" t="s">
        <v>16</v>
      </c>
      <c r="F7" s="10" t="s">
        <v>17</v>
      </c>
      <c r="G7" s="8" t="s">
        <v>18</v>
      </c>
      <c r="H7" s="11" t="s">
        <v>19</v>
      </c>
      <c r="I7" s="11"/>
      <c r="J7" s="2">
        <f t="shared" ref="J7:J14" si="1">MULTIPLY(K7,L7)</f>
        <v>0.76</v>
      </c>
      <c r="K7" s="1">
        <v>2.0</v>
      </c>
      <c r="L7" s="1">
        <v>0.38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7">
        <v>2.0</v>
      </c>
      <c r="B8" s="8" t="s">
        <v>20</v>
      </c>
      <c r="C8" s="9">
        <v>2.0</v>
      </c>
      <c r="D8" s="12" t="s">
        <v>21</v>
      </c>
      <c r="E8" s="12" t="s">
        <v>22</v>
      </c>
      <c r="F8" s="13" t="s">
        <v>23</v>
      </c>
      <c r="G8" s="14" t="s">
        <v>24</v>
      </c>
      <c r="H8" s="11" t="s">
        <v>19</v>
      </c>
      <c r="I8" s="11"/>
      <c r="J8" s="2">
        <f t="shared" si="1"/>
        <v>0.4</v>
      </c>
      <c r="K8" s="1">
        <v>2.0</v>
      </c>
      <c r="L8" s="1">
        <v>0.2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7">
        <v>3.0</v>
      </c>
      <c r="B9" s="8" t="s">
        <v>25</v>
      </c>
      <c r="C9" s="9">
        <v>2.0</v>
      </c>
      <c r="D9" s="8" t="s">
        <v>26</v>
      </c>
      <c r="E9" s="8" t="s">
        <v>27</v>
      </c>
      <c r="F9" s="10" t="s">
        <v>28</v>
      </c>
      <c r="G9" s="8" t="s">
        <v>29</v>
      </c>
      <c r="H9" s="15" t="s">
        <v>30</v>
      </c>
      <c r="I9" s="11"/>
      <c r="J9" s="2">
        <f t="shared" si="1"/>
        <v>1.16</v>
      </c>
      <c r="K9" s="1">
        <v>2.0</v>
      </c>
      <c r="L9" s="1">
        <v>0.58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7">
        <v>4.0</v>
      </c>
      <c r="B10" s="8" t="s">
        <v>31</v>
      </c>
      <c r="C10" s="9">
        <v>1.0</v>
      </c>
      <c r="D10" s="8" t="s">
        <v>26</v>
      </c>
      <c r="E10" s="8" t="s">
        <v>32</v>
      </c>
      <c r="F10" s="10" t="s">
        <v>33</v>
      </c>
      <c r="G10" s="8" t="s">
        <v>34</v>
      </c>
      <c r="H10" s="15" t="s">
        <v>30</v>
      </c>
      <c r="I10" s="11"/>
      <c r="J10" s="2">
        <f t="shared" si="1"/>
        <v>0.32</v>
      </c>
      <c r="K10" s="1">
        <v>1.0</v>
      </c>
      <c r="L10" s="1">
        <v>0.32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/>
      <c r="B11" s="8"/>
      <c r="C11" s="9"/>
      <c r="D11" s="16"/>
      <c r="E11" s="8"/>
      <c r="F11" s="10" t="s">
        <v>35</v>
      </c>
      <c r="G11" s="8"/>
      <c r="H11" s="15"/>
      <c r="I11" s="11"/>
      <c r="J11" s="2">
        <f t="shared" si="1"/>
        <v>2</v>
      </c>
      <c r="K11" s="1">
        <v>1.0</v>
      </c>
      <c r="L11" s="1">
        <v>2.0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/>
      <c r="B12" s="17"/>
      <c r="C12" s="7"/>
      <c r="D12" s="17"/>
      <c r="E12" s="17"/>
      <c r="F12" s="10" t="s">
        <v>36</v>
      </c>
      <c r="G12" s="18"/>
      <c r="H12" s="11"/>
      <c r="I12" s="11"/>
      <c r="J12" s="2">
        <f t="shared" si="1"/>
        <v>14.95</v>
      </c>
      <c r="K12" s="1">
        <v>1.0</v>
      </c>
      <c r="L12" s="1">
        <v>14.95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7"/>
      <c r="B13" s="17"/>
      <c r="C13" s="7"/>
      <c r="D13" s="19"/>
      <c r="E13" s="17"/>
      <c r="F13" s="10" t="s">
        <v>37</v>
      </c>
      <c r="G13" s="18"/>
      <c r="H13" s="11"/>
      <c r="I13" s="11"/>
      <c r="J13" s="2">
        <f t="shared" si="1"/>
        <v>29.95</v>
      </c>
      <c r="K13" s="1">
        <v>1.0</v>
      </c>
      <c r="L13" s="1">
        <v>29.95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7"/>
      <c r="B14" s="17"/>
      <c r="C14" s="7"/>
      <c r="D14" s="17"/>
      <c r="E14" s="17"/>
      <c r="F14" s="8" t="s">
        <v>38</v>
      </c>
      <c r="G14" s="18"/>
      <c r="H14" s="11"/>
      <c r="I14" s="11"/>
      <c r="J14" s="2">
        <f t="shared" si="1"/>
        <v>1</v>
      </c>
      <c r="K14" s="1">
        <v>1.0</v>
      </c>
      <c r="L14" s="1">
        <v>1.0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7"/>
      <c r="B15" s="17"/>
      <c r="C15" s="7"/>
      <c r="D15" s="17"/>
      <c r="E15" s="20"/>
      <c r="F15" s="17"/>
      <c r="G15" s="18"/>
      <c r="H15" s="11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7"/>
      <c r="B16" s="17"/>
      <c r="C16" s="7"/>
      <c r="D16" s="17"/>
      <c r="E16" s="17"/>
      <c r="F16" s="17"/>
      <c r="G16" s="18"/>
      <c r="H16" s="11"/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7"/>
      <c r="B17" s="17"/>
      <c r="C17" s="7"/>
      <c r="D17" s="17"/>
      <c r="E17" s="17"/>
      <c r="F17" s="17"/>
      <c r="G17" s="18"/>
      <c r="H17" s="11"/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7"/>
      <c r="B18" s="17"/>
      <c r="C18" s="7"/>
      <c r="D18" s="17"/>
      <c r="E18" s="17"/>
      <c r="F18" s="17"/>
      <c r="G18" s="18"/>
      <c r="H18" s="11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7"/>
      <c r="B19" s="17"/>
      <c r="C19" s="7"/>
      <c r="D19" s="17"/>
      <c r="E19" s="17"/>
      <c r="F19" s="17"/>
      <c r="G19" s="18"/>
      <c r="H19" s="11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7"/>
      <c r="B20" s="17"/>
      <c r="C20" s="7"/>
      <c r="D20" s="17"/>
      <c r="E20" s="17"/>
      <c r="F20" s="17"/>
      <c r="G20" s="18"/>
      <c r="H20" s="1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7"/>
      <c r="B21" s="17"/>
      <c r="C21" s="7"/>
      <c r="D21" s="17"/>
      <c r="E21" s="17"/>
      <c r="F21" s="17"/>
      <c r="G21" s="18"/>
      <c r="H21" s="1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7"/>
      <c r="B22" s="17"/>
      <c r="C22" s="7"/>
      <c r="D22" s="17"/>
      <c r="E22" s="17"/>
      <c r="F22" s="17"/>
      <c r="G22" s="18"/>
      <c r="H22" s="1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7"/>
      <c r="B23" s="17"/>
      <c r="C23" s="7"/>
      <c r="D23" s="17"/>
      <c r="E23" s="17"/>
      <c r="F23" s="17"/>
      <c r="G23" s="18"/>
      <c r="H23" s="1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7"/>
      <c r="B24" s="17"/>
      <c r="C24" s="7"/>
      <c r="D24" s="17"/>
      <c r="E24" s="17"/>
      <c r="F24" s="17"/>
      <c r="G24" s="18"/>
      <c r="H24" s="11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7"/>
      <c r="B25" s="17"/>
      <c r="C25" s="7"/>
      <c r="D25" s="17"/>
      <c r="E25" s="19"/>
      <c r="F25" s="17"/>
      <c r="G25" s="18"/>
      <c r="H25" s="11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1"/>
      <c r="B26" s="21"/>
      <c r="C26" s="21"/>
      <c r="D26" s="21"/>
      <c r="E26" s="21"/>
      <c r="F26" s="21"/>
      <c r="G26" s="22"/>
      <c r="H26" s="21"/>
      <c r="I26" s="21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4"/>
      <c r="B27" s="25"/>
      <c r="C27" s="25"/>
      <c r="D27" s="25"/>
      <c r="E27" s="25"/>
      <c r="F27" s="25"/>
      <c r="G27" s="26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4"/>
      <c r="B28" s="25"/>
      <c r="C28" s="25"/>
      <c r="D28" s="25"/>
      <c r="E28" s="25"/>
      <c r="F28" s="25"/>
      <c r="G28" s="26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B3"/>
    <mergeCell ref="D2:F4"/>
  </mergeCells>
  <hyperlinks>
    <hyperlink r:id="rId1" ref="F7"/>
    <hyperlink r:id="rId2" ref="F8"/>
    <hyperlink r:id="rId3" ref="F9"/>
    <hyperlink r:id="rId4" ref="F10"/>
    <hyperlink r:id="rId5" ref="F11"/>
    <hyperlink r:id="rId6" ref="F12"/>
    <hyperlink r:id="rId7" ref="F13"/>
  </hyperlinks>
  <printOptions/>
  <pageMargins bottom="0.75" footer="0.0" header="0.0" left="0.699305555555556" right="0.699305555555556" top="0.75"/>
  <pageSetup paperSize="9"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8.71"/>
    <col customWidth="1" min="3" max="3" width="9.0"/>
    <col customWidth="1" min="4" max="4" width="41.43"/>
    <col customWidth="1" min="5" max="5" width="29.86"/>
    <col customWidth="1" min="6" max="6" width="52.29"/>
    <col customWidth="1" min="7" max="7" width="27.43"/>
    <col customWidth="1" min="8" max="8" width="13.57"/>
    <col customWidth="1" min="9" max="9" width="35.57"/>
    <col customWidth="1" min="10" max="26" width="9.0"/>
  </cols>
  <sheetData>
    <row r="1" ht="14.25" customHeight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/>
      <c r="C2" s="2"/>
      <c r="D2" s="4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C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1" t="s">
        <v>2</v>
      </c>
      <c r="K5" s="1" t="s">
        <v>3</v>
      </c>
      <c r="L5" s="1" t="s">
        <v>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.5" customHeight="1">
      <c r="A6" s="5" t="s">
        <v>5</v>
      </c>
      <c r="B6" s="6" t="s">
        <v>40</v>
      </c>
      <c r="C6" s="6" t="s">
        <v>41</v>
      </c>
      <c r="D6" s="5" t="s">
        <v>8</v>
      </c>
      <c r="E6" s="6" t="s">
        <v>42</v>
      </c>
      <c r="F6" s="5" t="s">
        <v>10</v>
      </c>
      <c r="G6" s="6" t="s">
        <v>43</v>
      </c>
      <c r="H6" s="5" t="s">
        <v>12</v>
      </c>
      <c r="I6" s="5" t="s">
        <v>13</v>
      </c>
      <c r="J6" s="2">
        <f>SUM(J7:J1000)</f>
        <v>33.5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7">
        <v>1.0</v>
      </c>
      <c r="B7" s="8" t="s">
        <v>14</v>
      </c>
      <c r="C7" s="9">
        <v>2.0</v>
      </c>
      <c r="D7" s="1" t="s">
        <v>15</v>
      </c>
      <c r="E7" s="8" t="s">
        <v>16</v>
      </c>
      <c r="F7" s="10" t="s">
        <v>17</v>
      </c>
      <c r="G7" s="8" t="s">
        <v>18</v>
      </c>
      <c r="H7" s="11" t="s">
        <v>19</v>
      </c>
      <c r="I7" s="11"/>
      <c r="J7" s="2">
        <f t="shared" ref="J7:J13" si="1">MULTIPLY(K7,L7)</f>
        <v>0.76</v>
      </c>
      <c r="K7" s="1">
        <v>2.0</v>
      </c>
      <c r="L7" s="1">
        <v>0.38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7">
        <v>2.0</v>
      </c>
      <c r="B8" s="8" t="s">
        <v>20</v>
      </c>
      <c r="C8" s="9">
        <v>2.0</v>
      </c>
      <c r="D8" s="12" t="s">
        <v>21</v>
      </c>
      <c r="E8" s="12" t="s">
        <v>22</v>
      </c>
      <c r="F8" s="13" t="s">
        <v>23</v>
      </c>
      <c r="G8" s="14" t="s">
        <v>24</v>
      </c>
      <c r="H8" s="11" t="s">
        <v>19</v>
      </c>
      <c r="I8" s="11"/>
      <c r="J8" s="2">
        <f t="shared" si="1"/>
        <v>0.4</v>
      </c>
      <c r="K8" s="1">
        <v>2.0</v>
      </c>
      <c r="L8" s="1">
        <v>0.2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7">
        <v>3.0</v>
      </c>
      <c r="B9" s="8" t="s">
        <v>44</v>
      </c>
      <c r="C9" s="9">
        <v>1.0</v>
      </c>
      <c r="D9" s="8" t="s">
        <v>26</v>
      </c>
      <c r="E9" s="8" t="s">
        <v>27</v>
      </c>
      <c r="F9" s="10" t="s">
        <v>28</v>
      </c>
      <c r="G9" s="8" t="s">
        <v>29</v>
      </c>
      <c r="H9" s="15" t="s">
        <v>30</v>
      </c>
      <c r="I9" s="11"/>
      <c r="J9" s="2">
        <f t="shared" si="1"/>
        <v>0.58</v>
      </c>
      <c r="K9" s="1">
        <v>1.0</v>
      </c>
      <c r="L9" s="1">
        <v>0.58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7">
        <v>4.0</v>
      </c>
      <c r="B10" s="8" t="s">
        <v>45</v>
      </c>
      <c r="C10" s="9">
        <v>1.0</v>
      </c>
      <c r="D10" s="8" t="s">
        <v>26</v>
      </c>
      <c r="E10" s="8" t="s">
        <v>32</v>
      </c>
      <c r="F10" s="10" t="s">
        <v>33</v>
      </c>
      <c r="G10" s="8" t="s">
        <v>34</v>
      </c>
      <c r="H10" s="15" t="s">
        <v>30</v>
      </c>
      <c r="I10" s="11"/>
      <c r="J10" s="2">
        <f t="shared" si="1"/>
        <v>0.32</v>
      </c>
      <c r="K10" s="1">
        <v>1.0</v>
      </c>
      <c r="L10" s="1">
        <v>0.32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>
        <v>5.0</v>
      </c>
      <c r="B11" s="8" t="s">
        <v>31</v>
      </c>
      <c r="C11" s="9">
        <v>1.0</v>
      </c>
      <c r="D11" s="16" t="s">
        <v>26</v>
      </c>
      <c r="E11" s="8" t="s">
        <v>46</v>
      </c>
      <c r="F11" s="10" t="s">
        <v>47</v>
      </c>
      <c r="G11" s="8" t="s">
        <v>48</v>
      </c>
      <c r="H11" s="15" t="s">
        <v>30</v>
      </c>
      <c r="I11" s="11"/>
      <c r="J11" s="2">
        <f t="shared" si="1"/>
        <v>0.49</v>
      </c>
      <c r="K11" s="1">
        <v>1.0</v>
      </c>
      <c r="L11" s="1">
        <v>0.49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/>
      <c r="B12" s="17"/>
      <c r="C12" s="7"/>
      <c r="D12" s="17"/>
      <c r="E12" s="17"/>
      <c r="F12" s="10" t="s">
        <v>37</v>
      </c>
      <c r="G12" s="18"/>
      <c r="H12" s="11"/>
      <c r="I12" s="11"/>
      <c r="J12" s="2">
        <f t="shared" si="1"/>
        <v>29.95</v>
      </c>
      <c r="K12" s="1">
        <v>1.0</v>
      </c>
      <c r="L12" s="1">
        <v>29.95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7"/>
      <c r="B13" s="17"/>
      <c r="C13" s="7"/>
      <c r="D13" s="19"/>
      <c r="E13" s="17"/>
      <c r="F13" s="8" t="s">
        <v>38</v>
      </c>
      <c r="G13" s="18"/>
      <c r="H13" s="11"/>
      <c r="I13" s="11"/>
      <c r="J13" s="2">
        <f t="shared" si="1"/>
        <v>1</v>
      </c>
      <c r="K13" s="1">
        <v>1.0</v>
      </c>
      <c r="L13" s="1">
        <v>1.0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7"/>
      <c r="B14" s="17"/>
      <c r="C14" s="7"/>
      <c r="D14" s="17"/>
      <c r="E14" s="17"/>
      <c r="F14" s="17"/>
      <c r="G14" s="18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7"/>
      <c r="B15" s="17"/>
      <c r="C15" s="7"/>
      <c r="D15" s="17"/>
      <c r="E15" s="20"/>
      <c r="F15" s="17"/>
      <c r="G15" s="18"/>
      <c r="H15" s="11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7"/>
      <c r="B16" s="17"/>
      <c r="C16" s="7"/>
      <c r="D16" s="17"/>
      <c r="E16" s="17"/>
      <c r="F16" s="17"/>
      <c r="G16" s="18"/>
      <c r="H16" s="11"/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7"/>
      <c r="B17" s="17"/>
      <c r="C17" s="7"/>
      <c r="D17" s="17"/>
      <c r="E17" s="17"/>
      <c r="F17" s="17"/>
      <c r="G17" s="18"/>
      <c r="H17" s="11"/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7"/>
      <c r="B18" s="17"/>
      <c r="C18" s="7"/>
      <c r="D18" s="17"/>
      <c r="E18" s="17"/>
      <c r="F18" s="17"/>
      <c r="G18" s="18"/>
      <c r="H18" s="11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7"/>
      <c r="B19" s="17"/>
      <c r="C19" s="7"/>
      <c r="D19" s="17"/>
      <c r="E19" s="17"/>
      <c r="F19" s="17"/>
      <c r="G19" s="18"/>
      <c r="H19" s="11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7"/>
      <c r="B20" s="17"/>
      <c r="C20" s="7"/>
      <c r="D20" s="17"/>
      <c r="E20" s="17"/>
      <c r="F20" s="17"/>
      <c r="G20" s="18"/>
      <c r="H20" s="1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7"/>
      <c r="B21" s="17"/>
      <c r="C21" s="7"/>
      <c r="D21" s="17"/>
      <c r="E21" s="17"/>
      <c r="F21" s="17"/>
      <c r="G21" s="18"/>
      <c r="H21" s="1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7"/>
      <c r="B22" s="17"/>
      <c r="C22" s="7"/>
      <c r="D22" s="17"/>
      <c r="E22" s="17"/>
      <c r="F22" s="17"/>
      <c r="G22" s="18"/>
      <c r="H22" s="1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7"/>
      <c r="B23" s="17"/>
      <c r="C23" s="7"/>
      <c r="D23" s="17"/>
      <c r="E23" s="17"/>
      <c r="F23" s="17"/>
      <c r="G23" s="18"/>
      <c r="H23" s="1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7"/>
      <c r="B24" s="17"/>
      <c r="C24" s="7"/>
      <c r="D24" s="17"/>
      <c r="E24" s="17"/>
      <c r="F24" s="17"/>
      <c r="G24" s="18"/>
      <c r="H24" s="11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7"/>
      <c r="B25" s="17"/>
      <c r="C25" s="7"/>
      <c r="D25" s="17"/>
      <c r="E25" s="19"/>
      <c r="F25" s="17"/>
      <c r="G25" s="18"/>
      <c r="H25" s="11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1"/>
      <c r="B26" s="21"/>
      <c r="C26" s="21"/>
      <c r="D26" s="21"/>
      <c r="E26" s="21"/>
      <c r="F26" s="21"/>
      <c r="G26" s="22"/>
      <c r="H26" s="21"/>
      <c r="I26" s="21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4"/>
      <c r="B27" s="25"/>
      <c r="C27" s="25"/>
      <c r="D27" s="25"/>
      <c r="E27" s="25"/>
      <c r="F27" s="25"/>
      <c r="G27" s="26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4"/>
      <c r="B28" s="25"/>
      <c r="C28" s="25"/>
      <c r="D28" s="25"/>
      <c r="E28" s="25"/>
      <c r="F28" s="25"/>
      <c r="G28" s="26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B3"/>
    <mergeCell ref="D2:F4"/>
  </mergeCells>
  <hyperlinks>
    <hyperlink r:id="rId1" ref="F7"/>
    <hyperlink r:id="rId2" ref="F8"/>
    <hyperlink r:id="rId3" ref="F9"/>
    <hyperlink r:id="rId4" ref="F10"/>
    <hyperlink r:id="rId5" ref="F11"/>
    <hyperlink r:id="rId6" ref="F12"/>
  </hyperlinks>
  <printOptions/>
  <pageMargins bottom="0.75" footer="0.0" header="0.0" left="0.699305555555556" right="0.699305555555556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